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9B5543EE-B4FC-4AE3-A2AB-E23E8EC6724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Vendor_Data" sheetId="1" r:id="rId1"/>
    <sheet name="Pivot Tables" sheetId="2" r:id="rId2"/>
    <sheet name="Dashboard" sheetId="3" r:id="rId3"/>
  </sheets>
  <calcPr calcId="191028"/>
  <pivotCaches>
    <pivotCache cacheId="29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<sst xmlns="http://schemas.openxmlformats.org/spreadsheetml/2006/main" count="117" uniqueCount="60">
  <si>
    <t>Invoice_ID</t>
  </si>
  <si>
    <t>Invoice_Date</t>
  </si>
  <si>
    <t>Vendor_Name</t>
  </si>
  <si>
    <t>Department</t>
  </si>
  <si>
    <t>Category</t>
  </si>
  <si>
    <t>Amount</t>
  </si>
  <si>
    <t>Status</t>
  </si>
  <si>
    <t>Payment_Method</t>
  </si>
  <si>
    <t>Month</t>
  </si>
  <si>
    <t>Month_Num</t>
  </si>
  <si>
    <t>Dell Technologies</t>
  </si>
  <si>
    <t>IT</t>
  </si>
  <si>
    <t>Hardware</t>
  </si>
  <si>
    <t>PAID</t>
  </si>
  <si>
    <t>ACH</t>
  </si>
  <si>
    <t>Staples Business</t>
  </si>
  <si>
    <t>Operations</t>
  </si>
  <si>
    <t>Office Supplies</t>
  </si>
  <si>
    <t>Check</t>
  </si>
  <si>
    <t>Iron Mountain</t>
  </si>
  <si>
    <t>Compliance</t>
  </si>
  <si>
    <t>Storage</t>
  </si>
  <si>
    <t>PENDING</t>
  </si>
  <si>
    <t>Salesforce Inc</t>
  </si>
  <si>
    <t>Sales</t>
  </si>
  <si>
    <t>Software</t>
  </si>
  <si>
    <t>WeWork</t>
  </si>
  <si>
    <t>Facilities</t>
  </si>
  <si>
    <t>Real Estate</t>
  </si>
  <si>
    <t>DISPUTED</t>
  </si>
  <si>
    <t>Oracle Corp</t>
  </si>
  <si>
    <t>Wire</t>
  </si>
  <si>
    <t>FedEx</t>
  </si>
  <si>
    <t>Shipping</t>
  </si>
  <si>
    <t>Deloitte</t>
  </si>
  <si>
    <t>Finance</t>
  </si>
  <si>
    <t>Professional Services</t>
  </si>
  <si>
    <t>AT&amp;T</t>
  </si>
  <si>
    <t>Telecom</t>
  </si>
  <si>
    <t>Merck KGaA</t>
  </si>
  <si>
    <t>Consulting</t>
  </si>
  <si>
    <t>Grainger</t>
  </si>
  <si>
    <t>Maintenance</t>
  </si>
  <si>
    <t>Microsoft</t>
  </si>
  <si>
    <t>Cintas</t>
  </si>
  <si>
    <t>Uniforms</t>
  </si>
  <si>
    <t>PwC</t>
  </si>
  <si>
    <t>Sum of Amount</t>
  </si>
  <si>
    <t>Jan-2024</t>
  </si>
  <si>
    <t>Feb-2024</t>
  </si>
  <si>
    <t>Grand Total</t>
  </si>
  <si>
    <t>Mar-2024</t>
  </si>
  <si>
    <t>Apr-2024</t>
  </si>
  <si>
    <t>May-2024</t>
  </si>
  <si>
    <t>Total Invoices</t>
  </si>
  <si>
    <t>Total Spend</t>
  </si>
  <si>
    <t>Total Paid</t>
  </si>
  <si>
    <t>Total Pending</t>
  </si>
  <si>
    <t>Total Disputed</t>
  </si>
  <si>
    <t>Outstanding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</si>
</sst>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sz val="14"/>
      <color theme="1"/>
      <name val="Calibri Light"/>
      <scheme val="major"/>
    </font>
    <font>
      <b/>
      <sz val="14"/>
      <color theme="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12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Vendor Spend -- Jan to May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Tables'!$F$4:$G$9</c:f>
              <c:multiLvlStrCache>
                <c:ptCount val="5"/>
                <c:lvl>
                  <c:pt idx="0">
                    <c:v>Jan-2024</c:v>
                  </c:pt>
                  <c:pt idx="1">
                    <c:v>Feb-2024</c:v>
                  </c:pt>
                  <c:pt idx="2">
                    <c:v>Mar-2024</c:v>
                  </c:pt>
                  <c:pt idx="3">
                    <c:v>Apr-2024</c:v>
                  </c:pt>
                  <c:pt idx="4">
                    <c:v>May-2024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'Pivot Tables'!$H$4:$H$9</c:f>
              <c:numCache>
                <c:formatCode>"$"#,##0.00</c:formatCode>
                <c:ptCount val="5"/>
                <c:pt idx="0">
                  <c:v>24450</c:v>
                </c:pt>
                <c:pt idx="1">
                  <c:v>55500</c:v>
                </c:pt>
                <c:pt idx="2">
                  <c:v>55900</c:v>
                </c:pt>
                <c:pt idx="3">
                  <c:v>38800</c:v>
                </c:pt>
                <c:pt idx="4">
                  <c:v>51200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5-4835-B42A-136CB713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44551"/>
        <c:axId val="1222446599"/>
      </c:lineChart>
      <c:catAx>
        <c:axId val="122244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46599"/>
        <c:crosses val="autoZero"/>
        <c:auto val="1"/>
        <c:lblAlgn val="ctr"/>
        <c:lblOffset val="100"/>
        <c:noMultiLvlLbl val="0"/>
      </c:catAx>
      <c:valAx>
        <c:axId val="122244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4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142875</xdr:rowOff>
    </xdr:from>
    <xdr:to>
      <xdr:col>10</xdr:col>
      <xdr:colOff>266700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6D0E2-998C-44F5-A3B9-A4D69CFBB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626482291664" createdVersion="8" refreshedVersion="8" minRefreshableVersion="3" recordCount="15" xr:uid="{DDF502D0-F233-4F99-818B-31688F4A7F1E}">
  <cacheSource type="worksheet">
    <worksheetSource name="Table1"/>
  </cacheSource>
  <cacheFields count="10">
    <cacheField name="Invoice_ID" numFmtId="0">
      <sharedItems containsSemiMixedTypes="0" containsString="0" containsNumber="1" containsInteger="1" minValue="1" maxValue="15"/>
    </cacheField>
    <cacheField name="Invoice_Date" numFmtId="14">
      <sharedItems containsSemiMixedTypes="0" containsNonDate="0" containsDate="1" containsString="0" minDate="2024-01-05T00:00:00" maxDate="2024-05-23T00:00:00"/>
    </cacheField>
    <cacheField name="Vendor_Name" numFmtId="0">
      <sharedItems/>
    </cacheField>
    <cacheField name="Department" numFmtId="0">
      <sharedItems count="6">
        <s v="IT"/>
        <s v="Operations"/>
        <s v="Compliance"/>
        <s v="Sales"/>
        <s v="Facilities"/>
        <s v="Finance"/>
      </sharedItems>
    </cacheField>
    <cacheField name="Category" numFmtId="0">
      <sharedItems count="11">
        <s v="Hardware"/>
        <s v="Office Supplies"/>
        <s v="Storage"/>
        <s v="Software"/>
        <s v="Real Estate"/>
        <s v="Shipping"/>
        <s v="Professional Services"/>
        <s v="Telecom"/>
        <s v="Consulting"/>
        <s v="Maintenance"/>
        <s v="Uniforms"/>
      </sharedItems>
    </cacheField>
    <cacheField name="Amount" numFmtId="164">
      <sharedItems containsSemiMixedTypes="0" containsString="0" containsNumber="1" containsInteger="1" minValue="3200" maxValue="45000"/>
    </cacheField>
    <cacheField name="Status" numFmtId="0">
      <sharedItems count="3">
        <s v="PAID"/>
        <s v="PENDING"/>
        <s v="DISPUTED"/>
      </sharedItems>
    </cacheField>
    <cacheField name="Payment_Method" numFmtId="0">
      <sharedItems containsBlank="1"/>
    </cacheField>
    <cacheField name="Month" numFmtId="0">
      <sharedItems count="5">
        <s v="Jan-2024"/>
        <s v="Feb-2024"/>
        <s v="Mar-2024"/>
        <s v="Apr-2024"/>
        <s v="May-2024"/>
      </sharedItems>
    </cacheField>
    <cacheField name="Month_Num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4-01-05T00:00:00"/>
    <s v="Dell Technologies"/>
    <x v="0"/>
    <x v="0"/>
    <n v="12500"/>
    <x v="0"/>
    <s v="ACH"/>
    <x v="0"/>
    <x v="0"/>
  </r>
  <r>
    <n v="2"/>
    <d v="2024-01-12T00:00:00"/>
    <s v="Staples Business"/>
    <x v="1"/>
    <x v="1"/>
    <n v="3200"/>
    <x v="0"/>
    <s v="Check"/>
    <x v="0"/>
    <x v="0"/>
  </r>
  <r>
    <n v="3"/>
    <d v="2024-01-18T00:00:00"/>
    <s v="Iron Mountain"/>
    <x v="2"/>
    <x v="2"/>
    <n v="8750"/>
    <x v="1"/>
    <m/>
    <x v="0"/>
    <x v="0"/>
  </r>
  <r>
    <n v="4"/>
    <d v="2024-02-02T00:00:00"/>
    <s v="Salesforce Inc"/>
    <x v="3"/>
    <x v="3"/>
    <n v="15000"/>
    <x v="0"/>
    <s v="ACH"/>
    <x v="1"/>
    <x v="1"/>
  </r>
  <r>
    <n v="5"/>
    <d v="2024-02-14T00:00:00"/>
    <s v="WeWork"/>
    <x v="4"/>
    <x v="4"/>
    <n v="22000"/>
    <x v="2"/>
    <m/>
    <x v="1"/>
    <x v="1"/>
  </r>
  <r>
    <n v="6"/>
    <d v="2024-02-20T00:00:00"/>
    <s v="Oracle Corp"/>
    <x v="0"/>
    <x v="3"/>
    <n v="18500"/>
    <x v="0"/>
    <s v="Wire"/>
    <x v="1"/>
    <x v="1"/>
  </r>
  <r>
    <n v="7"/>
    <d v="2024-03-01T00:00:00"/>
    <s v="FedEx"/>
    <x v="1"/>
    <x v="5"/>
    <n v="4100"/>
    <x v="0"/>
    <s v="ACH"/>
    <x v="2"/>
    <x v="2"/>
  </r>
  <r>
    <n v="8"/>
    <d v="2024-03-15T00:00:00"/>
    <s v="Deloitte"/>
    <x v="5"/>
    <x v="6"/>
    <n v="45000"/>
    <x v="1"/>
    <m/>
    <x v="2"/>
    <x v="2"/>
  </r>
  <r>
    <n v="9"/>
    <d v="2024-03-22T00:00:00"/>
    <s v="AT&amp;T"/>
    <x v="0"/>
    <x v="7"/>
    <n v="6800"/>
    <x v="0"/>
    <s v="Check"/>
    <x v="2"/>
    <x v="2"/>
  </r>
  <r>
    <n v="10"/>
    <d v="2024-04-01T00:00:00"/>
    <s v="WeWork"/>
    <x v="4"/>
    <x v="4"/>
    <n v="22000"/>
    <x v="0"/>
    <s v="ACH"/>
    <x v="3"/>
    <x v="3"/>
  </r>
  <r>
    <n v="11"/>
    <d v="2024-04-10T00:00:00"/>
    <s v="Merck KGaA"/>
    <x v="5"/>
    <x v="8"/>
    <n v="11200"/>
    <x v="0"/>
    <s v="Wire"/>
    <x v="3"/>
    <x v="3"/>
  </r>
  <r>
    <n v="12"/>
    <d v="2024-04-18T00:00:00"/>
    <s v="Grainger"/>
    <x v="1"/>
    <x v="9"/>
    <n v="5600"/>
    <x v="0"/>
    <s v="ACH"/>
    <x v="3"/>
    <x v="3"/>
  </r>
  <r>
    <n v="13"/>
    <d v="2024-05-02T00:00:00"/>
    <s v="Microsoft"/>
    <x v="0"/>
    <x v="3"/>
    <n v="9800"/>
    <x v="0"/>
    <s v="ACH"/>
    <x v="4"/>
    <x v="4"/>
  </r>
  <r>
    <n v="14"/>
    <d v="2024-05-15T00:00:00"/>
    <s v="Cintas"/>
    <x v="4"/>
    <x v="10"/>
    <n v="3400"/>
    <x v="0"/>
    <s v="Check"/>
    <x v="4"/>
    <x v="4"/>
  </r>
  <r>
    <n v="15"/>
    <d v="2024-05-22T00:00:00"/>
    <s v="PwC"/>
    <x v="5"/>
    <x v="6"/>
    <n v="38000"/>
    <x v="1"/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60DC-5F58-4D56-9EA9-5B2C298F2557}" name="PivotTable3" cacheId="2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F3:H9" firstHeaderRow="1" firstDataRow="1" firstDataCol="2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axis="axisRow" compact="0" outline="0" showAll="0">
      <items count="6">
        <item x="3"/>
        <item x="1"/>
        <item x="0"/>
        <item x="2"/>
        <item x="4"/>
        <item t="default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2">
    <field x="9"/>
    <field x="8"/>
  </rowFields>
  <rowItems count="6">
    <i>
      <x/>
      <x v="2"/>
    </i>
    <i>
      <x v="1"/>
      <x v="1"/>
    </i>
    <i>
      <x v="2"/>
      <x v="3"/>
    </i>
    <i>
      <x v="3"/>
      <x/>
    </i>
    <i>
      <x v="4"/>
      <x v="4"/>
    </i>
    <i t="grand">
      <x/>
    </i>
  </rowItems>
  <colItems count="1">
    <i/>
  </colItems>
  <dataFields count="1">
    <dataField name="Sum of Amount" fld="5" baseField="0" baseItem="0" numFmtId="164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B9290-2C78-44D2-A28D-2741D2F5235E}" name="PivotTable2" cacheId="2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8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12">
        <item x="8"/>
        <item x="0"/>
        <item x="9"/>
        <item x="1"/>
        <item x="6"/>
        <item x="4"/>
        <item x="5"/>
        <item x="3"/>
        <item x="2"/>
        <item x="7"/>
        <item x="10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1DD45-C51E-4292-AF00-65D33467034D}" name="PivotTable1" cacheId="2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 rowPageCount="1" colPageCount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7">
        <item x="2"/>
        <item x="4"/>
        <item x="5"/>
        <item x="0"/>
        <item x="1"/>
        <item x="3"/>
        <item t="default"/>
      </items>
    </pivotField>
    <pivotField compact="0" outline="0" showAll="0"/>
    <pivotField dataField="1" compact="0" numFmtId="164" outline="0" showAll="0"/>
    <pivotField axis="axisPage" compact="0" outline="0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6" item="2" hier="-1"/>
  </pageFields>
  <dataFields count="1">
    <dataField name="Sum of Amount" fld="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AAFDE-ABC3-4ED7-AA8B-FC76A71310DC}" name="Table1" displayName="Table1" ref="A1:J16" totalsRowShown="0" headerRowDxfId="11" dataDxfId="10">
  <autoFilter ref="A1:J16" xr:uid="{FE0AAFDE-ABC3-4ED7-AA8B-FC76A71310DC}"/>
  <tableColumns count="10">
    <tableColumn id="1" xr3:uid="{595CE9B4-60D0-4FE7-9E81-D6C97B66DD85}" name="Invoice_ID" dataDxfId="9"/>
    <tableColumn id="2" xr3:uid="{227ECE48-BB6D-4B6F-903F-7BCE630572E6}" name="Invoice_Date" dataDxfId="8"/>
    <tableColumn id="3" xr3:uid="{F7714C37-937B-45C0-8B45-FD5AB6CBBA5D}" name="Vendor_Name" dataDxfId="7"/>
    <tableColumn id="4" xr3:uid="{A037E92B-5DB2-4660-86BE-198746026196}" name="Department" dataDxfId="6"/>
    <tableColumn id="5" xr3:uid="{21D8FED4-9E3B-4377-A6EE-42BAAF4E4A6B}" name="Category" dataDxfId="5"/>
    <tableColumn id="6" xr3:uid="{6E48AE5E-11F6-47DA-A85E-6A6DEB884FB5}" name="Amount" dataDxfId="4"/>
    <tableColumn id="7" xr3:uid="{6B10E70E-E51F-4A92-B1A1-4D3162BD3CD7}" name="Status" dataDxfId="3"/>
    <tableColumn id="8" xr3:uid="{498C2EF0-1223-4387-9E21-67B8238F3EE5}" name="Payment_Method" dataDxfId="2"/>
    <tableColumn id="9" xr3:uid="{78B8BF8C-3127-4152-B9C8-FB7FEFBFA862}" name="Month" dataDxfId="1">
      <calculatedColumnFormula>TEXT(B2,"MMM-YYYY")</calculatedColumnFormula>
    </tableColumn>
    <tableColumn id="10" xr3:uid="{0818FB71-29E8-4D0B-A078-4E9E72BD223D}" name="Month_Num" dataDxfId="0">
      <calculatedColumnFormula>MONTH(B2)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A3" sqref="A3"/>
    </sheetView>
  </sheetViews>
  <sheetFormatPr defaultRowHeight="15"/>
  <cols>
    <col min="1" max="5" width="16.7109375" style="1" customWidth="1"/>
    <col min="6" max="6" width="16.7109375" style="4" customWidth="1"/>
    <col min="7" max="7" width="16.7109375" style="1" customWidth="1"/>
    <col min="8" max="8" width="19.28515625" style="1" bestFit="1" customWidth="1"/>
    <col min="9" max="9" width="16.7109375" style="1" customWidth="1"/>
    <col min="10" max="10" width="14.5703125" style="1" bestFit="1" customWidth="1"/>
    <col min="11" max="16384" width="9.1406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>
        <v>45296</v>
      </c>
      <c r="C2" s="1" t="s">
        <v>10</v>
      </c>
      <c r="D2" s="1" t="s">
        <v>11</v>
      </c>
      <c r="E2" s="3" t="s">
        <v>12</v>
      </c>
      <c r="F2" s="4">
        <v>12500</v>
      </c>
      <c r="G2" s="1" t="s">
        <v>13</v>
      </c>
      <c r="H2" s="1" t="s">
        <v>14</v>
      </c>
      <c r="I2" s="1" t="str">
        <f t="shared" ref="I2:I16" si="0">TEXT(B2,"MMM-YYYY")</f>
        <v>Jan-2024</v>
      </c>
      <c r="J2" s="1">
        <f t="shared" ref="J2:J16" si="1">MONTH(B2)</f>
        <v>1</v>
      </c>
    </row>
    <row r="3" spans="1:10">
      <c r="A3" s="1">
        <v>2</v>
      </c>
      <c r="B3" s="2">
        <v>45303</v>
      </c>
      <c r="C3" s="1" t="s">
        <v>15</v>
      </c>
      <c r="D3" s="1" t="s">
        <v>16</v>
      </c>
      <c r="E3" s="3" t="s">
        <v>17</v>
      </c>
      <c r="F3" s="4">
        <v>3200</v>
      </c>
      <c r="G3" s="1" t="s">
        <v>13</v>
      </c>
      <c r="H3" s="1" t="s">
        <v>18</v>
      </c>
      <c r="I3" s="1" t="str">
        <f t="shared" si="0"/>
        <v>Jan-2024</v>
      </c>
      <c r="J3" s="1">
        <f t="shared" si="1"/>
        <v>1</v>
      </c>
    </row>
    <row r="4" spans="1:10">
      <c r="A4" s="1">
        <v>3</v>
      </c>
      <c r="B4" s="2">
        <v>45309</v>
      </c>
      <c r="C4" s="1" t="s">
        <v>19</v>
      </c>
      <c r="D4" s="1" t="s">
        <v>20</v>
      </c>
      <c r="E4" s="3" t="s">
        <v>21</v>
      </c>
      <c r="F4" s="4">
        <v>8750</v>
      </c>
      <c r="G4" s="1" t="s">
        <v>22</v>
      </c>
      <c r="I4" s="1" t="str">
        <f t="shared" si="0"/>
        <v>Jan-2024</v>
      </c>
      <c r="J4" s="1">
        <f t="shared" si="1"/>
        <v>1</v>
      </c>
    </row>
    <row r="5" spans="1:10">
      <c r="A5" s="1">
        <v>4</v>
      </c>
      <c r="B5" s="2">
        <v>45324</v>
      </c>
      <c r="C5" s="1" t="s">
        <v>23</v>
      </c>
      <c r="D5" s="1" t="s">
        <v>24</v>
      </c>
      <c r="E5" s="3" t="s">
        <v>25</v>
      </c>
      <c r="F5" s="4">
        <v>15000</v>
      </c>
      <c r="G5" s="1" t="s">
        <v>13</v>
      </c>
      <c r="H5" s="1" t="s">
        <v>14</v>
      </c>
      <c r="I5" s="1" t="str">
        <f t="shared" si="0"/>
        <v>Feb-2024</v>
      </c>
      <c r="J5" s="1">
        <f t="shared" si="1"/>
        <v>2</v>
      </c>
    </row>
    <row r="6" spans="1:10">
      <c r="A6" s="1">
        <v>5</v>
      </c>
      <c r="B6" s="2">
        <v>45336</v>
      </c>
      <c r="C6" s="1" t="s">
        <v>26</v>
      </c>
      <c r="D6" s="1" t="s">
        <v>27</v>
      </c>
      <c r="E6" s="3" t="s">
        <v>28</v>
      </c>
      <c r="F6" s="4">
        <v>22000</v>
      </c>
      <c r="G6" s="1" t="s">
        <v>29</v>
      </c>
      <c r="I6" s="1" t="str">
        <f t="shared" si="0"/>
        <v>Feb-2024</v>
      </c>
      <c r="J6" s="1">
        <f t="shared" si="1"/>
        <v>2</v>
      </c>
    </row>
    <row r="7" spans="1:10">
      <c r="A7" s="1">
        <v>6</v>
      </c>
      <c r="B7" s="2">
        <v>45342</v>
      </c>
      <c r="C7" s="1" t="s">
        <v>30</v>
      </c>
      <c r="D7" s="1" t="s">
        <v>11</v>
      </c>
      <c r="E7" s="3" t="s">
        <v>25</v>
      </c>
      <c r="F7" s="4">
        <v>18500</v>
      </c>
      <c r="G7" s="1" t="s">
        <v>13</v>
      </c>
      <c r="H7" s="1" t="s">
        <v>31</v>
      </c>
      <c r="I7" s="1" t="str">
        <f t="shared" si="0"/>
        <v>Feb-2024</v>
      </c>
      <c r="J7" s="1">
        <f t="shared" si="1"/>
        <v>2</v>
      </c>
    </row>
    <row r="8" spans="1:10">
      <c r="A8" s="1">
        <v>7</v>
      </c>
      <c r="B8" s="2">
        <v>45352</v>
      </c>
      <c r="C8" s="1" t="s">
        <v>32</v>
      </c>
      <c r="D8" s="1" t="s">
        <v>16</v>
      </c>
      <c r="E8" s="3" t="s">
        <v>33</v>
      </c>
      <c r="F8" s="4">
        <v>4100</v>
      </c>
      <c r="G8" s="1" t="s">
        <v>13</v>
      </c>
      <c r="H8" s="1" t="s">
        <v>14</v>
      </c>
      <c r="I8" s="1" t="str">
        <f t="shared" si="0"/>
        <v>Mar-2024</v>
      </c>
      <c r="J8" s="1">
        <f t="shared" si="1"/>
        <v>3</v>
      </c>
    </row>
    <row r="9" spans="1:10" ht="30.75">
      <c r="A9" s="1">
        <v>8</v>
      </c>
      <c r="B9" s="2">
        <v>45366</v>
      </c>
      <c r="C9" s="1" t="s">
        <v>34</v>
      </c>
      <c r="D9" s="1" t="s">
        <v>35</v>
      </c>
      <c r="E9" s="3" t="s">
        <v>36</v>
      </c>
      <c r="F9" s="4">
        <v>45000</v>
      </c>
      <c r="G9" s="1" t="s">
        <v>22</v>
      </c>
      <c r="I9" s="1" t="str">
        <f t="shared" si="0"/>
        <v>Mar-2024</v>
      </c>
      <c r="J9" s="1">
        <f t="shared" si="1"/>
        <v>3</v>
      </c>
    </row>
    <row r="10" spans="1:10">
      <c r="A10" s="1">
        <v>9</v>
      </c>
      <c r="B10" s="2">
        <v>45373</v>
      </c>
      <c r="C10" s="1" t="s">
        <v>37</v>
      </c>
      <c r="D10" s="1" t="s">
        <v>11</v>
      </c>
      <c r="E10" s="3" t="s">
        <v>38</v>
      </c>
      <c r="F10" s="4">
        <v>6800</v>
      </c>
      <c r="G10" s="1" t="s">
        <v>13</v>
      </c>
      <c r="H10" s="1" t="s">
        <v>18</v>
      </c>
      <c r="I10" s="1" t="str">
        <f t="shared" si="0"/>
        <v>Mar-2024</v>
      </c>
      <c r="J10" s="1">
        <f t="shared" si="1"/>
        <v>3</v>
      </c>
    </row>
    <row r="11" spans="1:10">
      <c r="A11" s="1">
        <v>10</v>
      </c>
      <c r="B11" s="2">
        <v>45383</v>
      </c>
      <c r="C11" s="1" t="s">
        <v>26</v>
      </c>
      <c r="D11" s="1" t="s">
        <v>27</v>
      </c>
      <c r="E11" s="3" t="s">
        <v>28</v>
      </c>
      <c r="F11" s="4">
        <v>22000</v>
      </c>
      <c r="G11" s="1" t="s">
        <v>13</v>
      </c>
      <c r="H11" s="1" t="s">
        <v>14</v>
      </c>
      <c r="I11" s="1" t="str">
        <f t="shared" si="0"/>
        <v>Apr-2024</v>
      </c>
      <c r="J11" s="1">
        <f t="shared" si="1"/>
        <v>4</v>
      </c>
    </row>
    <row r="12" spans="1:10">
      <c r="A12" s="1">
        <v>11</v>
      </c>
      <c r="B12" s="2">
        <v>45392</v>
      </c>
      <c r="C12" s="1" t="s">
        <v>39</v>
      </c>
      <c r="D12" s="1" t="s">
        <v>35</v>
      </c>
      <c r="E12" s="3" t="s">
        <v>40</v>
      </c>
      <c r="F12" s="4">
        <v>11200</v>
      </c>
      <c r="G12" s="1" t="s">
        <v>13</v>
      </c>
      <c r="H12" s="1" t="s">
        <v>31</v>
      </c>
      <c r="I12" s="1" t="str">
        <f t="shared" si="0"/>
        <v>Apr-2024</v>
      </c>
      <c r="J12" s="1">
        <f t="shared" si="1"/>
        <v>4</v>
      </c>
    </row>
    <row r="13" spans="1:10">
      <c r="A13" s="1">
        <v>12</v>
      </c>
      <c r="B13" s="2">
        <v>45400</v>
      </c>
      <c r="C13" s="1" t="s">
        <v>41</v>
      </c>
      <c r="D13" s="1" t="s">
        <v>16</v>
      </c>
      <c r="E13" s="3" t="s">
        <v>42</v>
      </c>
      <c r="F13" s="4">
        <v>5600</v>
      </c>
      <c r="G13" s="1" t="s">
        <v>13</v>
      </c>
      <c r="H13" s="1" t="s">
        <v>14</v>
      </c>
      <c r="I13" s="1" t="str">
        <f t="shared" si="0"/>
        <v>Apr-2024</v>
      </c>
      <c r="J13" s="1">
        <f t="shared" si="1"/>
        <v>4</v>
      </c>
    </row>
    <row r="14" spans="1:10">
      <c r="A14" s="1">
        <v>13</v>
      </c>
      <c r="B14" s="2">
        <v>45414</v>
      </c>
      <c r="C14" s="1" t="s">
        <v>43</v>
      </c>
      <c r="D14" s="1" t="s">
        <v>11</v>
      </c>
      <c r="E14" s="3" t="s">
        <v>25</v>
      </c>
      <c r="F14" s="4">
        <v>9800</v>
      </c>
      <c r="G14" s="1" t="s">
        <v>13</v>
      </c>
      <c r="H14" s="1" t="s">
        <v>14</v>
      </c>
      <c r="I14" s="1" t="str">
        <f t="shared" si="0"/>
        <v>May-2024</v>
      </c>
      <c r="J14" s="1">
        <f t="shared" si="1"/>
        <v>5</v>
      </c>
    </row>
    <row r="15" spans="1:10">
      <c r="A15" s="1">
        <v>14</v>
      </c>
      <c r="B15" s="2">
        <v>45427</v>
      </c>
      <c r="C15" s="1" t="s">
        <v>44</v>
      </c>
      <c r="D15" s="1" t="s">
        <v>27</v>
      </c>
      <c r="E15" s="3" t="s">
        <v>45</v>
      </c>
      <c r="F15" s="4">
        <v>3400</v>
      </c>
      <c r="G15" s="1" t="s">
        <v>13</v>
      </c>
      <c r="H15" s="1" t="s">
        <v>18</v>
      </c>
      <c r="I15" s="1" t="str">
        <f t="shared" si="0"/>
        <v>May-2024</v>
      </c>
      <c r="J15" s="1">
        <f t="shared" si="1"/>
        <v>5</v>
      </c>
    </row>
    <row r="16" spans="1:10" ht="30.75">
      <c r="A16" s="1">
        <v>15</v>
      </c>
      <c r="B16" s="2">
        <v>45434</v>
      </c>
      <c r="C16" s="1" t="s">
        <v>46</v>
      </c>
      <c r="D16" s="1" t="s">
        <v>35</v>
      </c>
      <c r="E16" s="3" t="s">
        <v>36</v>
      </c>
      <c r="F16" s="4">
        <v>38000</v>
      </c>
      <c r="G16" s="1" t="s">
        <v>22</v>
      </c>
      <c r="I16" s="1" t="str">
        <f t="shared" si="0"/>
        <v>May-2024</v>
      </c>
      <c r="J16" s="1">
        <f t="shared" si="1"/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D473-F1CA-488E-A21F-E81E0F2592D8}">
  <dimension ref="A1:H28"/>
  <sheetViews>
    <sheetView workbookViewId="0">
      <selection activeCell="M15" sqref="M15"/>
    </sheetView>
  </sheetViews>
  <sheetFormatPr defaultRowHeight="15"/>
  <cols>
    <col min="1" max="2" width="14.85546875" bestFit="1" customWidth="1"/>
    <col min="6" max="6" width="11.42578125" bestFit="1" customWidth="1"/>
    <col min="7" max="7" width="10" bestFit="1" customWidth="1"/>
    <col min="8" max="8" width="14.85546875" bestFit="1" customWidth="1"/>
  </cols>
  <sheetData>
    <row r="1" spans="1:8">
      <c r="A1" s="5" t="s">
        <v>6</v>
      </c>
      <c r="B1" t="s">
        <v>22</v>
      </c>
    </row>
    <row r="3" spans="1:8">
      <c r="A3" s="5" t="s">
        <v>3</v>
      </c>
      <c r="B3" t="s">
        <v>47</v>
      </c>
      <c r="F3" s="5" t="s">
        <v>9</v>
      </c>
      <c r="G3" s="5" t="s">
        <v>8</v>
      </c>
      <c r="H3" t="s">
        <v>47</v>
      </c>
    </row>
    <row r="4" spans="1:8">
      <c r="A4" t="s">
        <v>20</v>
      </c>
      <c r="B4" s="6">
        <v>8750</v>
      </c>
      <c r="F4">
        <v>1</v>
      </c>
      <c r="G4" t="s">
        <v>48</v>
      </c>
      <c r="H4" s="6">
        <v>24450</v>
      </c>
    </row>
    <row r="5" spans="1:8">
      <c r="A5" t="s">
        <v>35</v>
      </c>
      <c r="B5" s="6">
        <v>83000</v>
      </c>
      <c r="F5">
        <v>2</v>
      </c>
      <c r="G5" t="s">
        <v>49</v>
      </c>
      <c r="H5" s="6">
        <v>55500</v>
      </c>
    </row>
    <row r="6" spans="1:8">
      <c r="A6" t="s">
        <v>50</v>
      </c>
      <c r="B6" s="6">
        <v>91750</v>
      </c>
      <c r="F6">
        <v>3</v>
      </c>
      <c r="G6" t="s">
        <v>51</v>
      </c>
      <c r="H6" s="6">
        <v>55900</v>
      </c>
    </row>
    <row r="7" spans="1:8">
      <c r="F7">
        <v>4</v>
      </c>
      <c r="G7" t="s">
        <v>52</v>
      </c>
      <c r="H7" s="6">
        <v>38800</v>
      </c>
    </row>
    <row r="8" spans="1:8">
      <c r="F8">
        <v>5</v>
      </c>
      <c r="G8" t="s">
        <v>53</v>
      </c>
      <c r="H8" s="6">
        <v>51200</v>
      </c>
    </row>
    <row r="9" spans="1:8">
      <c r="F9" t="s">
        <v>50</v>
      </c>
      <c r="H9" s="6">
        <v>225850</v>
      </c>
    </row>
    <row r="16" spans="1:8">
      <c r="A16" s="5" t="s">
        <v>4</v>
      </c>
      <c r="B16" t="s">
        <v>47</v>
      </c>
    </row>
    <row r="17" spans="1:2">
      <c r="A17" t="s">
        <v>40</v>
      </c>
      <c r="B17" s="6">
        <v>11200</v>
      </c>
    </row>
    <row r="18" spans="1:2">
      <c r="A18" t="s">
        <v>12</v>
      </c>
      <c r="B18" s="6">
        <v>12500</v>
      </c>
    </row>
    <row r="19" spans="1:2">
      <c r="A19" t="s">
        <v>42</v>
      </c>
      <c r="B19" s="6">
        <v>5600</v>
      </c>
    </row>
    <row r="20" spans="1:2">
      <c r="A20" t="s">
        <v>17</v>
      </c>
      <c r="B20" s="6">
        <v>3200</v>
      </c>
    </row>
    <row r="21" spans="1:2">
      <c r="A21" t="s">
        <v>36</v>
      </c>
      <c r="B21" s="6">
        <v>83000</v>
      </c>
    </row>
    <row r="22" spans="1:2">
      <c r="A22" t="s">
        <v>28</v>
      </c>
      <c r="B22" s="6">
        <v>44000</v>
      </c>
    </row>
    <row r="23" spans="1:2">
      <c r="A23" t="s">
        <v>33</v>
      </c>
      <c r="B23" s="6">
        <v>4100</v>
      </c>
    </row>
    <row r="24" spans="1:2">
      <c r="A24" t="s">
        <v>25</v>
      </c>
      <c r="B24" s="6">
        <v>43300</v>
      </c>
    </row>
    <row r="25" spans="1:2">
      <c r="A25" t="s">
        <v>21</v>
      </c>
      <c r="B25" s="6">
        <v>8750</v>
      </c>
    </row>
    <row r="26" spans="1:2">
      <c r="A26" t="s">
        <v>38</v>
      </c>
      <c r="B26" s="6">
        <v>6800</v>
      </c>
    </row>
    <row r="27" spans="1:2">
      <c r="A27" t="s">
        <v>45</v>
      </c>
      <c r="B27" s="6">
        <v>3400</v>
      </c>
    </row>
    <row r="28" spans="1:2">
      <c r="A28" t="s">
        <v>50</v>
      </c>
      <c r="B28" s="6">
        <v>225850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8F66-99F3-4BFE-A534-722B525CBAB8}">
  <dimension ref="A1:H6"/>
  <sheetViews>
    <sheetView tabSelected="1" workbookViewId="0">
      <selection sqref="A1:A6"/>
    </sheetView>
  </sheetViews>
  <sheetFormatPr defaultRowHeight="15"/>
  <cols>
    <col min="1" max="1" width="18.85546875" style="7" customWidth="1"/>
    <col min="2" max="2" width="18.5703125" style="7" customWidth="1"/>
    <col min="3" max="8" width="13.5703125" style="7" customWidth="1"/>
  </cols>
  <sheetData>
    <row r="1" spans="1:3" ht="18.75">
      <c r="A1" s="11" t="s">
        <v>54</v>
      </c>
      <c r="B1" s="9">
        <f>COUNTA(Vendor_Data!A:A)-1</f>
        <v>15</v>
      </c>
    </row>
    <row r="2" spans="1:3" ht="18.75">
      <c r="A2" s="11" t="s">
        <v>55</v>
      </c>
      <c r="B2" s="10">
        <f>SUM(Vendor_Data!F:F)</f>
        <v>225850</v>
      </c>
      <c r="C2" s="8"/>
    </row>
    <row r="3" spans="1:3" ht="18.75">
      <c r="A3" s="11" t="s">
        <v>56</v>
      </c>
      <c r="B3" s="10">
        <f>SUMIF(Vendor_Data!G:G,"PAID",Vendor_Data!F:F)</f>
        <v>112100</v>
      </c>
    </row>
    <row r="4" spans="1:3" ht="18.75">
      <c r="A4" s="11" t="s">
        <v>57</v>
      </c>
      <c r="B4" s="10">
        <f>SUMIF(Vendor_Data!G:G,"PENDING",Vendor_Data!F:F)</f>
        <v>91750</v>
      </c>
    </row>
    <row r="5" spans="1:3" ht="18.75">
      <c r="A5" s="11" t="s">
        <v>58</v>
      </c>
      <c r="B5" s="10">
        <f>SUMIF(Vendor_Data!G:G,"DISPUTED",Vendor_Data!F:F)</f>
        <v>22000</v>
      </c>
    </row>
    <row r="6" spans="1:3" ht="16.5" customHeight="1">
      <c r="A6" s="12" t="s">
        <v>59</v>
      </c>
      <c r="B6" s="10">
        <f>B4+B5</f>
        <v>113750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2026-06-21T22:25:13Z</dcterms:created>
  <dcterms:modified xsi:type="dcterms:W3CDTF">2026-06-27T20:02:15Z</dcterms:modified>
  <cp:category/>
  <cp:contentStatus/>
</cp:coreProperties>
</file>